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108" windowWidth="19092" windowHeight="7392"/>
  </bookViews>
  <sheets>
    <sheet name="TOC" sheetId="7" r:id="rId1"/>
    <sheet name="TOC11" sheetId="5" r:id="rId2"/>
    <sheet name="Código de la TOC" sheetId="4" r:id="rId3"/>
    <sheet name="FindCharacterPositions" sheetId="2" r:id="rId4"/>
    <sheet name="Código Addin FindCharacterPosit" sheetId="3" r:id="rId5"/>
    <sheet name="LastPosition" sheetId="6" r:id="rId6"/>
  </sheets>
  <externalReferences>
    <externalReference r:id="rId7"/>
    <externalReference r:id="rId8"/>
  </externalReferences>
  <calcPr calcId="124519"/>
</workbook>
</file>

<file path=xl/calcChain.xml><?xml version="1.0" encoding="utf-8"?>
<calcChain xmlns="http://schemas.openxmlformats.org/spreadsheetml/2006/main">
  <c r="B28" i="6"/>
  <c r="C27"/>
  <c r="C28"/>
  <c r="F28" l="1"/>
  <c r="G28" s="1"/>
  <c r="E28"/>
  <c r="D28"/>
  <c r="D27"/>
  <c r="F27"/>
  <c r="G27" s="1"/>
  <c r="E27"/>
  <c r="B27"/>
  <c r="C26"/>
  <c r="D26" l="1"/>
  <c r="E26"/>
  <c r="F26"/>
  <c r="G26" s="1"/>
  <c r="B26"/>
  <c r="C25"/>
  <c r="E25" l="1"/>
  <c r="F25"/>
  <c r="G25" s="1"/>
  <c r="B25"/>
  <c r="D25" s="1"/>
  <c r="C23"/>
  <c r="D23" l="1"/>
  <c r="F23"/>
  <c r="G23" s="1"/>
  <c r="E23"/>
  <c r="B23"/>
  <c r="G20"/>
  <c r="B20"/>
  <c r="C20"/>
  <c r="C19"/>
  <c r="D19" l="1"/>
  <c r="E19"/>
  <c r="F19"/>
  <c r="G19" s="1"/>
  <c r="B19"/>
  <c r="C18"/>
  <c r="D18" l="1"/>
  <c r="F18"/>
  <c r="G18" s="1"/>
  <c r="E18"/>
  <c r="B18"/>
  <c r="C17"/>
  <c r="D17" l="1"/>
  <c r="E17"/>
  <c r="F17"/>
  <c r="G17" s="1"/>
  <c r="B17"/>
  <c r="B14" i="2" l="1"/>
  <c r="B15"/>
  <c r="B13"/>
  <c r="B12"/>
  <c r="B11"/>
  <c r="B10"/>
  <c r="B9"/>
  <c r="B8"/>
  <c r="B7"/>
  <c r="B6"/>
  <c r="B5"/>
  <c r="D10"/>
  <c r="D5"/>
  <c r="D15"/>
  <c r="D7"/>
  <c r="D8"/>
  <c r="D12"/>
  <c r="D11"/>
  <c r="D14"/>
  <c r="D6"/>
  <c r="D9"/>
  <c r="D13"/>
</calcChain>
</file>

<file path=xl/sharedStrings.xml><?xml version="1.0" encoding="utf-8"?>
<sst xmlns="http://schemas.openxmlformats.org/spreadsheetml/2006/main" count="162" uniqueCount="137">
  <si>
    <t>a</t>
  </si>
  <si>
    <t>Public Function FindCharacterPositions(ByVal searchString As String, ByVal searchChar As String) As String</t>
  </si>
  <si>
    <t xml:space="preserve">    Dim positions As String</t>
  </si>
  <si>
    <t xml:space="preserve">    Dim i As Long</t>
  </si>
  <si>
    <t xml:space="preserve">    Dim pos As Long</t>
  </si>
  <si>
    <t xml:space="preserve">    </t>
  </si>
  <si>
    <t xml:space="preserve">    positions = ""</t>
  </si>
  <si>
    <t xml:space="preserve">    pos = 1</t>
  </si>
  <si>
    <t xml:space="preserve">    ' Find the positions of the search character and concatenate them into a string</t>
  </si>
  <si>
    <t xml:space="preserve">    Do</t>
  </si>
  <si>
    <t xml:space="preserve">        pos = InStr(pos, searchString, searchChar)</t>
  </si>
  <si>
    <t xml:space="preserve">        If pos &gt; 0 Then</t>
  </si>
  <si>
    <t xml:space="preserve">            If positions &lt;&gt; "" Then</t>
  </si>
  <si>
    <t xml:space="preserve">                positions = positions &amp; ", "</t>
  </si>
  <si>
    <t xml:space="preserve">            End If</t>
  </si>
  <si>
    <t xml:space="preserve">            positions = positions &amp; pos</t>
  </si>
  <si>
    <t xml:space="preserve">        Else</t>
  </si>
  <si>
    <t xml:space="preserve">            Exit Do</t>
  </si>
  <si>
    <t xml:space="preserve">        End If</t>
  </si>
  <si>
    <t xml:space="preserve">    Loop</t>
  </si>
  <si>
    <t xml:space="preserve">    FindCharacterPositions = positions</t>
  </si>
  <si>
    <t>End Function</t>
  </si>
  <si>
    <t>*12*34*aaa*w*1</t>
  </si>
  <si>
    <t>*</t>
  </si>
  <si>
    <t xml:space="preserve"> </t>
  </si>
  <si>
    <t>31-12-2021/511.021/Cuentas/a/cobrar/préstamos</t>
  </si>
  <si>
    <t>/</t>
  </si>
  <si>
    <t>*12**34**aaa*w*1</t>
  </si>
  <si>
    <t>**</t>
  </si>
  <si>
    <t>vosotros</t>
  </si>
  <si>
    <t>Carácter o string  separador, delimitador (más de un carácter)</t>
  </si>
  <si>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  <r>
      <rPr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bc</t>
    </r>
  </si>
  <si>
    <t>"vosotros" comienza en la posición 12</t>
  </si>
  <si>
    <r>
      <t xml:space="preserve">Tu yo ella </t>
    </r>
    <r>
      <rPr>
        <sz val="11"/>
        <color rgb="FFFF0000"/>
        <rFont val="Calibri"/>
        <family val="2"/>
        <scheme val="minor"/>
      </rPr>
      <t>vosotros</t>
    </r>
    <r>
      <rPr>
        <sz val="11"/>
        <color theme="1"/>
        <rFont val="Calibri"/>
        <family val="2"/>
        <scheme val="minor"/>
      </rPr>
      <t xml:space="preserve"> él vos</t>
    </r>
  </si>
  <si>
    <t>12.11*34,78*-56,78</t>
  </si>
  <si>
    <t>aaaaaaaaaaaa</t>
  </si>
  <si>
    <t>aa</t>
  </si>
  <si>
    <t>31-12-2021 511.021 Cuentas a cobrar préstamos 10,23 11,00 -11,00</t>
  </si>
  <si>
    <t>Array conteniendo cada posición del separador (en base a estas posiciones, luego se aplican Left, Right, Mid, etc.)</t>
  </si>
  <si>
    <t>En este caso,el separador es un espacio, que no se ve, pero está</t>
  </si>
  <si>
    <t xml:space="preserve">            pos = pos + Len(searchChar)</t>
  </si>
  <si>
    <t>aaa</t>
  </si>
  <si>
    <t>ahora corregido, sí funciona para este caso</t>
  </si>
  <si>
    <t>Len (no se utiliza, sólo es de ref.)</t>
  </si>
  <si>
    <t>Para que puedan ver el resultado de la función, primero tienen que instalar y habilitar el Addin; de lo contrario, verán un error.</t>
  </si>
  <si>
    <t>Sub CreateTableOfContents()</t>
  </si>
  <si>
    <t xml:space="preserve">    Dim ws As Worksheet</t>
  </si>
  <si>
    <t xml:space="preserve">    Dim tocWs As Worksheet</t>
  </si>
  <si>
    <t xml:space="preserve">    Dim rng As Range</t>
  </si>
  <si>
    <t xml:space="preserve">    Dim rowNum As Long</t>
  </si>
  <si>
    <t xml:space="preserve">    Dim wsName As String</t>
  </si>
  <si>
    <t xml:space="preserve">    Dim tocAddress As String</t>
  </si>
  <si>
    <t xml:space="preserve">    ' Set the table of contents worksheet as the first sheet</t>
  </si>
  <si>
    <t xml:space="preserve">    Set tocWs = ThisWorkbook.Sheets.Add(Before:=ThisWorkbook.Sheets(1))</t>
  </si>
  <si>
    <t xml:space="preserve">    tocWs.Name = "TOC"</t>
  </si>
  <si>
    <t xml:space="preserve">    ' Set the initial row number for the table of contents</t>
  </si>
  <si>
    <t xml:space="preserve">    rowNum = 1</t>
  </si>
  <si>
    <t xml:space="preserve">    ' Loop through each worksheet in the workbook</t>
  </si>
  <si>
    <t xml:space="preserve">    For Each ws In ThisWorkbook.Worksheets</t>
  </si>
  <si>
    <t xml:space="preserve">        ws.Activate ' Activate the current worksheet</t>
  </si>
  <si>
    <t xml:space="preserve">        </t>
  </si>
  <si>
    <t xml:space="preserve">        ' Add a hyperlink to the table of contents</t>
  </si>
  <si>
    <t xml:space="preserve">        wsName = ws.Name</t>
  </si>
  <si>
    <t xml:space="preserve">        With tocWs</t>
  </si>
  <si>
    <t xml:space="preserve">            .Hyperlinks.Add Anchor:=.Cells(rowNum, 1), Address:="", _</t>
  </si>
  <si>
    <t xml:space="preserve">                SubAddress:="'" &amp; wsName &amp; "'!A1", _</t>
  </si>
  <si>
    <t xml:space="preserve">                TextToDisplay:=wsName</t>
  </si>
  <si>
    <t xml:space="preserve">            rowNum = rowNum + 1</t>
  </si>
  <si>
    <t xml:space="preserve">        End With</t>
  </si>
  <si>
    <t xml:space="preserve">        ' Add a back hyperlink on the current sheet</t>
  </si>
  <si>
    <t xml:space="preserve">        Set rng = ws.Range("A1")</t>
  </si>
  <si>
    <t xml:space="preserve">        tocAddress = "'" &amp; tocWs.Name &amp; "'!A1"</t>
  </si>
  <si>
    <t xml:space="preserve">        ws.Hyperlinks.Add Anchor:=rng, Address:="", _</t>
  </si>
  <si>
    <t xml:space="preserve">            SubAddress:=tocAddress, _</t>
  </si>
  <si>
    <t xml:space="preserve">            TextToDisplay:="Back to TOC"</t>
  </si>
  <si>
    <t xml:space="preserve">    Next ws</t>
  </si>
  <si>
    <t xml:space="preserve">    ' Adjust the column width and format the table of contents</t>
  </si>
  <si>
    <t xml:space="preserve">    With tocWs</t>
  </si>
  <si>
    <t xml:space="preserve">        .Columns("A").AutoFit</t>
  </si>
  <si>
    <t xml:space="preserve">        .Range("A1").Font.Bold = True</t>
  </si>
  <si>
    <t xml:space="preserve">        .Range("A1").HorizontalAlignment = xlCenter</t>
  </si>
  <si>
    <t xml:space="preserve">        .Range("A:A").VerticalAlignment = xlCenter</t>
  </si>
  <si>
    <t xml:space="preserve">    End With</t>
  </si>
  <si>
    <t xml:space="preserve">    ' Activate the TOC sheet</t>
  </si>
  <si>
    <t xml:space="preserve">    tocWs.Activate</t>
  </si>
  <si>
    <t>End Sub</t>
  </si>
  <si>
    <t>Ejemplos de string a partir, to parse</t>
  </si>
  <si>
    <t>Back to TOC</t>
  </si>
  <si>
    <t>Código de la TOC</t>
  </si>
  <si>
    <t>FindCharacterPositions</t>
  </si>
  <si>
    <t>Código Adding FindCharacterPosi</t>
  </si>
  <si>
    <t>Nombre de cada worksheet</t>
  </si>
  <si>
    <t>Breve descripción de su contenido</t>
  </si>
  <si>
    <t>Contiene una función creada, cuyo nombre es  "FindCharacterPositions" ; su sintáxis es   "=FindCharacterPositions(A5;C5)" ; es decir, A5 contiene el string  y C5 contiene el carácter separador o delimitador.  Devuelve la posición de cada ocurrencia del separador dentro del string.  Fundamental para partir o convertir strings en columnas, en formato Excel, mediante la aplicación de las funciones de texto LEFT, RIGHT y MID.</t>
  </si>
  <si>
    <t>Contiene el código del Addin, es decir, de la función a crear. Preaviamente, es necesario instalar el addin y habilitarlo, de lo contrario la función no va a funcionar. Aquí no se explican los pasos necesarios para ello.</t>
  </si>
  <si>
    <t>Contiene el código de la Macro que genera estaTable of Contents (TOC), que meramente es un índice con salto a cada hoja. La macro se crea accediendo al edit de VBA. Aquí no se explican los pasos necesarios para ello. Presionando "Back to TOC" se vuelve a esta TOC.</t>
  </si>
  <si>
    <t>TABLA DE CONTENIDOS (TOC)</t>
  </si>
  <si>
    <t>Function LastPosition(rCell As Range, rChar As String)</t>
  </si>
  <si>
    <t>rCell   es la celda donde se encuentra el string a convertir;   rChar es carácter separador</t>
  </si>
  <si>
    <t>'This function gives the last position of the specified character</t>
  </si>
  <si>
    <t>Dim rLen As Integer</t>
  </si>
  <si>
    <t>matriz as integral</t>
  </si>
  <si>
    <t>rLen = Len(rCell)</t>
  </si>
  <si>
    <t>calcular la longitud de string a convertir y la asiga a la matriz</t>
  </si>
  <si>
    <t>For i = rLen To 1 Step -1</t>
  </si>
  <si>
    <t xml:space="preserve">Inicio del bucle desde longitud menos 1   </t>
  </si>
  <si>
    <t>If Mid(rCell, i - 1, 1) = rChar Then</t>
  </si>
  <si>
    <t>Si el carácter del medio es igual al carácter separador, entoces</t>
  </si>
  <si>
    <t xml:space="preserve"> LastPosition = i</t>
  </si>
  <si>
    <t>significa que ya encontró dicho carácter separador, terminando el bucle</t>
  </si>
  <si>
    <t xml:space="preserve"> Exit Function</t>
  </si>
  <si>
    <t>saliendo la función</t>
  </si>
  <si>
    <t>End If</t>
  </si>
  <si>
    <t>terminando el if</t>
  </si>
  <si>
    <t>Next i</t>
  </si>
  <si>
    <t>String a convertir</t>
  </si>
  <si>
    <t>Len del string a convertir + 1</t>
  </si>
  <si>
    <t>Function LastPosition (indica la posición -contando desde la izquierda- del primer carácter -a convertir- inmediato siguiente al último blanco -separador de campo-</t>
  </si>
  <si>
    <t>Es la columna - en el extremo derecho- convertida</t>
  </si>
  <si>
    <t>Conversión del N° de cuenta (que es una constante de 6 caracteres)</t>
  </si>
  <si>
    <t>Cantidad de caracteres que tiene el nombre</t>
  </si>
  <si>
    <t>nombre cuenta</t>
  </si>
  <si>
    <t>es separador es un espacio en blanco, es decir,  " "</t>
  </si>
  <si>
    <t xml:space="preserve">SECTOR PRIVADO NO FINANCIERO-CAPITALES 131700 94.704.325,50 </t>
  </si>
  <si>
    <t xml:space="preserve">ADELANT. EN CTA. CTE. DE CHEQUES COMUNES 131709 2.045.477,47 </t>
  </si>
  <si>
    <t xml:space="preserve">OTROS ADELANTOS 131712 320.331,66 </t>
  </si>
  <si>
    <t>Yo soy vincenzo</t>
  </si>
  <si>
    <t>el separador es *</t>
  </si>
  <si>
    <t>DOCUMENTOS A SOLA FIRMA*131715*10.915.617,71</t>
  </si>
  <si>
    <t>Cuenta a cobrar 132124 245.298,50</t>
  </si>
  <si>
    <t>OTROS ADELANTOS en pesos 131712 320.331,66</t>
  </si>
  <si>
    <t>OTROS 131712 320.331,66</t>
  </si>
  <si>
    <t>131712 320.331,67</t>
  </si>
  <si>
    <t>Código Addin FindCharacterPosit</t>
  </si>
  <si>
    <t>LastPosition</t>
  </si>
  <si>
    <t>Contiene el código del Addin, es decir, de la función a crear. Previamente, es necesario instalar el addin y habilitarlo, de lo contrario la función no va a funcionar. Aquí no se explican los pasos necesarios para ello.</t>
  </si>
  <si>
    <t>Contiene el código de función Addin, que devuelve la posición de ocurrencia de un carácter o separador o delimitador en un string, contando desde la izquierda hacia la derecha. Contiene un ejemplo de su utilización. Previamente hay que instalar el Addin, utilizando el editor de VBA.</t>
  </si>
</sst>
</file>

<file path=xl/styles.xml><?xml version="1.0" encoding="utf-8"?>
<styleSheet xmlns="http://schemas.openxmlformats.org/spreadsheetml/2006/main">
  <numFmts count="2">
    <numFmt numFmtId="164" formatCode="_ * #,##0.00_ ;_ * \-#,##0.00_ ;_ * &quot;-&quot;??_ ;_ @_ "/>
    <numFmt numFmtId="165" formatCode="_ * #,##0_ ;_ * \-#,##0_ ;_ * &quot;-&quot;??_ ;_ @_ 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u/>
      <sz val="11"/>
      <color theme="10"/>
      <name val="Calibri"/>
      <family val="2"/>
    </font>
    <font>
      <b/>
      <u/>
      <sz val="12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b/>
      <sz val="8"/>
      <color rgb="FFFF0000"/>
      <name val="Arial Unicode MS"/>
      <family val="2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/>
    <xf numFmtId="164" fontId="11" fillId="0" borderId="0" applyFont="0" applyFill="0" applyBorder="0" applyAlignment="0" applyProtection="0"/>
  </cellStyleXfs>
  <cellXfs count="59">
    <xf numFmtId="0" fontId="0" fillId="0" borderId="0" xfId="0"/>
    <xf numFmtId="0" fontId="0" fillId="0" borderId="1" xfId="0" applyBorder="1"/>
    <xf numFmtId="0" fontId="0" fillId="0" borderId="1" xfId="0" applyFont="1" applyBorder="1"/>
    <xf numFmtId="0" fontId="1" fillId="0" borderId="1" xfId="0" applyFont="1" applyBorder="1"/>
    <xf numFmtId="0" fontId="1" fillId="3" borderId="1" xfId="0" applyFont="1" applyFill="1" applyBorder="1"/>
    <xf numFmtId="0" fontId="2" fillId="0" borderId="1" xfId="0" applyFont="1" applyFill="1" applyBorder="1"/>
    <xf numFmtId="0" fontId="2" fillId="0" borderId="1" xfId="0" applyFont="1" applyBorder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1" fillId="4" borderId="1" xfId="0" applyFont="1" applyFill="1" applyBorder="1"/>
    <xf numFmtId="0" fontId="0" fillId="0" borderId="1" xfId="0" applyBorder="1" applyAlignment="1">
      <alignment horizontal="left"/>
    </xf>
    <xf numFmtId="0" fontId="0" fillId="4" borderId="1" xfId="0" applyFill="1" applyBorder="1"/>
    <xf numFmtId="0" fontId="5" fillId="3" borderId="1" xfId="0" applyFont="1" applyFill="1" applyBorder="1" applyAlignment="1">
      <alignment wrapText="1"/>
    </xf>
    <xf numFmtId="0" fontId="3" fillId="2" borderId="1" xfId="0" applyFont="1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 wrapText="1"/>
    </xf>
    <xf numFmtId="0" fontId="2" fillId="2" borderId="1" xfId="0" applyFont="1" applyFill="1" applyBorder="1"/>
    <xf numFmtId="0" fontId="0" fillId="0" borderId="2" xfId="0" applyBorder="1"/>
    <xf numFmtId="0" fontId="7" fillId="0" borderId="0" xfId="1" applyAlignment="1" applyProtection="1"/>
    <xf numFmtId="0" fontId="7" fillId="0" borderId="1" xfId="1" applyBorder="1" applyAlignment="1" applyProtection="1"/>
    <xf numFmtId="0" fontId="0" fillId="0" borderId="0" xfId="0" applyAlignment="1">
      <alignment vertical="center"/>
    </xf>
    <xf numFmtId="0" fontId="8" fillId="2" borderId="1" xfId="1" applyFont="1" applyFill="1" applyBorder="1" applyAlignment="1" applyProtection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/>
    <xf numFmtId="0" fontId="0" fillId="2" borderId="1" xfId="0" applyFill="1" applyBorder="1" applyAlignment="1">
      <alignment vertical="top" wrapText="1"/>
    </xf>
    <xf numFmtId="0" fontId="1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8" fillId="2" borderId="1" xfId="1" applyFont="1" applyFill="1" applyBorder="1" applyAlignment="1" applyProtection="1">
      <alignment vertical="center"/>
    </xf>
    <xf numFmtId="0" fontId="9" fillId="2" borderId="1" xfId="1" applyFont="1" applyFill="1" applyBorder="1" applyAlignment="1" applyProtection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12" fillId="2" borderId="1" xfId="0" applyFont="1" applyFill="1" applyBorder="1"/>
    <xf numFmtId="0" fontId="13" fillId="6" borderId="1" xfId="2" applyFont="1" applyFill="1" applyBorder="1" applyAlignment="1"/>
    <xf numFmtId="0" fontId="12" fillId="0" borderId="1" xfId="0" applyFont="1" applyBorder="1"/>
    <xf numFmtId="0" fontId="16" fillId="2" borderId="1" xfId="2" applyFont="1" applyFill="1" applyBorder="1" applyAlignment="1">
      <alignment horizontal="center" wrapText="1"/>
    </xf>
    <xf numFmtId="0" fontId="11" fillId="4" borderId="1" xfId="2" applyFill="1" applyBorder="1" applyAlignment="1">
      <alignment horizontal="center"/>
    </xf>
    <xf numFmtId="0" fontId="16" fillId="4" borderId="2" xfId="2" applyFont="1" applyFill="1" applyBorder="1" applyAlignment="1">
      <alignment horizontal="center" wrapText="1"/>
    </xf>
    <xf numFmtId="0" fontId="3" fillId="2" borderId="1" xfId="2" applyFont="1" applyFill="1" applyBorder="1"/>
    <xf numFmtId="0" fontId="16" fillId="4" borderId="1" xfId="2" applyFont="1" applyFill="1" applyBorder="1" applyAlignment="1">
      <alignment horizontal="center" wrapText="1"/>
    </xf>
    <xf numFmtId="0" fontId="16" fillId="4" borderId="1" xfId="2" applyFont="1" applyFill="1" applyBorder="1"/>
    <xf numFmtId="0" fontId="0" fillId="4" borderId="0" xfId="0" applyFill="1"/>
    <xf numFmtId="0" fontId="11" fillId="0" borderId="1" xfId="2" applyBorder="1"/>
    <xf numFmtId="0" fontId="11" fillId="0" borderId="2" xfId="2" applyBorder="1"/>
    <xf numFmtId="164" fontId="0" fillId="0" borderId="1" xfId="3" applyFont="1" applyBorder="1" applyAlignment="1">
      <alignment horizontal="right"/>
    </xf>
    <xf numFmtId="165" fontId="0" fillId="0" borderId="1" xfId="3" applyNumberFormat="1" applyFont="1" applyBorder="1"/>
    <xf numFmtId="0" fontId="3" fillId="2" borderId="1" xfId="2" applyFont="1" applyFill="1" applyBorder="1" applyAlignment="1">
      <alignment horizontal="center"/>
    </xf>
    <xf numFmtId="0" fontId="7" fillId="2" borderId="1" xfId="1" applyFill="1" applyBorder="1" applyAlignment="1" applyProtection="1">
      <alignment horizontal="center" vertical="center"/>
    </xf>
    <xf numFmtId="0" fontId="7" fillId="2" borderId="1" xfId="1" applyFill="1" applyBorder="1" applyAlignment="1" applyProtection="1"/>
    <xf numFmtId="0" fontId="9" fillId="2" borderId="1" xfId="1" applyFont="1" applyFill="1" applyBorder="1" applyAlignment="1" applyProtection="1">
      <alignment horizontal="left" vertical="center"/>
    </xf>
    <xf numFmtId="0" fontId="8" fillId="2" borderId="1" xfId="1" applyFont="1" applyFill="1" applyBorder="1" applyAlignment="1" applyProtection="1">
      <alignment horizontal="left" vertical="center"/>
    </xf>
    <xf numFmtId="0" fontId="11" fillId="2" borderId="1" xfId="2" applyFill="1" applyBorder="1" applyAlignment="1">
      <alignment horizontal="center" vertical="center"/>
    </xf>
    <xf numFmtId="0" fontId="14" fillId="2" borderId="1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>
      <alignment horizontal="center" vertical="center" wrapText="1"/>
    </xf>
    <xf numFmtId="0" fontId="5" fillId="2" borderId="1" xfId="2" applyFont="1" applyFill="1" applyBorder="1" applyAlignment="1">
      <alignment horizontal="center" vertical="center" wrapText="1"/>
    </xf>
    <xf numFmtId="0" fontId="5" fillId="2" borderId="1" xfId="2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wrapText="1"/>
    </xf>
  </cellXfs>
  <cellStyles count="4">
    <cellStyle name="Comma 2" xfId="3"/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n/AppData/Roaming/Microsoft/AddIns/FindCharacterPosition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n/AppData/Roaming/Microsoft/AddIns/LastPosition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FindCharacterPositions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LastPosi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6"/>
  <sheetViews>
    <sheetView tabSelected="1" workbookViewId="0">
      <selection activeCell="B11" sqref="B11"/>
    </sheetView>
  </sheetViews>
  <sheetFormatPr defaultRowHeight="14.4"/>
  <cols>
    <col min="1" max="1" width="38.44140625" style="24" customWidth="1"/>
    <col min="2" max="2" width="101.6640625" customWidth="1"/>
  </cols>
  <sheetData>
    <row r="1" spans="1:2" ht="15.6">
      <c r="A1" s="51" t="s">
        <v>87</v>
      </c>
      <c r="B1" s="27" t="s">
        <v>96</v>
      </c>
    </row>
    <row r="2" spans="1:2" ht="15.6">
      <c r="A2" s="32"/>
      <c r="B2" s="33" t="s">
        <v>92</v>
      </c>
    </row>
    <row r="3" spans="1:2" ht="43.2">
      <c r="A3" s="52" t="s">
        <v>88</v>
      </c>
      <c r="B3" s="28" t="s">
        <v>95</v>
      </c>
    </row>
    <row r="4" spans="1:2" ht="57.6">
      <c r="A4" s="52" t="s">
        <v>89</v>
      </c>
      <c r="B4" s="28" t="s">
        <v>93</v>
      </c>
    </row>
    <row r="5" spans="1:2" ht="28.8">
      <c r="A5" s="51" t="s">
        <v>133</v>
      </c>
      <c r="B5" s="28" t="s">
        <v>135</v>
      </c>
    </row>
    <row r="6" spans="1:2" ht="43.2">
      <c r="A6" s="52" t="s">
        <v>134</v>
      </c>
      <c r="B6" s="28" t="s">
        <v>136</v>
      </c>
    </row>
  </sheetData>
  <hyperlinks>
    <hyperlink ref="A1" location="'TOC'!A1" display="Back to TOC"/>
    <hyperlink ref="A3" location="'Código de la TOC'!A1" display="Código de la TOC"/>
    <hyperlink ref="A4" location="'FindCharacterPositions'!A1" display="FindCharacterPositions"/>
    <hyperlink ref="A5" location="'Código Addin FindCharacterPosit'!A1" display="Código Addin FindCharacterPosit"/>
    <hyperlink ref="A6" location="'LastPosition'!A1" display="LastPosition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7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4.4"/>
  <cols>
    <col min="1" max="1" width="35.21875" style="24" customWidth="1"/>
    <col min="2" max="2" width="101.6640625" customWidth="1"/>
  </cols>
  <sheetData>
    <row r="1" spans="1:2">
      <c r="A1" s="49" t="s">
        <v>87</v>
      </c>
      <c r="B1" s="18"/>
    </row>
    <row r="2" spans="1:2">
      <c r="A2" s="25"/>
      <c r="B2" s="27" t="s">
        <v>96</v>
      </c>
    </row>
    <row r="3" spans="1:2" ht="15.6">
      <c r="A3" s="32" t="s">
        <v>91</v>
      </c>
      <c r="B3" s="33" t="s">
        <v>92</v>
      </c>
    </row>
    <row r="4" spans="1:2" ht="48" customHeight="1">
      <c r="A4" s="31" t="s">
        <v>88</v>
      </c>
      <c r="B4" s="28" t="s">
        <v>95</v>
      </c>
    </row>
    <row r="5" spans="1:2" ht="67.2" customHeight="1">
      <c r="A5" s="31" t="s">
        <v>89</v>
      </c>
      <c r="B5" s="28" t="s">
        <v>93</v>
      </c>
    </row>
    <row r="6" spans="1:2" ht="28.8">
      <c r="A6" s="31" t="s">
        <v>90</v>
      </c>
      <c r="B6" s="28" t="s">
        <v>94</v>
      </c>
    </row>
    <row r="7" spans="1:2">
      <c r="A7" s="26"/>
      <c r="B7" s="28"/>
    </row>
  </sheetData>
  <hyperlinks>
    <hyperlink ref="A1" location="'TOC'!A1" display="Back to TOC"/>
    <hyperlink ref="A4" location="'Código de la TOC'!A1" display="Código de la TOC"/>
    <hyperlink ref="A5" location="'FindCharacterPositions'!A1" display="FindCharacterPositions"/>
    <hyperlink ref="A6" location="'Código Addin FindCharacterPosit'!A1" display="Código Adding FindCharacterPosi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49"/>
  <sheetViews>
    <sheetView workbookViewId="0">
      <pane ySplit="3" topLeftCell="A16" activePane="bottomLeft" state="frozen"/>
      <selection pane="bottomLeft"/>
    </sheetView>
  </sheetViews>
  <sheetFormatPr defaultRowHeight="14.4"/>
  <cols>
    <col min="1" max="1" width="72.21875" customWidth="1"/>
  </cols>
  <sheetData>
    <row r="1" spans="1:1">
      <c r="A1" s="22" t="s">
        <v>87</v>
      </c>
    </row>
    <row r="3" spans="1:1">
      <c r="A3" s="20" t="s">
        <v>45</v>
      </c>
    </row>
    <row r="4" spans="1:1">
      <c r="A4" s="18" t="s">
        <v>46</v>
      </c>
    </row>
    <row r="5" spans="1:1">
      <c r="A5" s="18" t="s">
        <v>47</v>
      </c>
    </row>
    <row r="6" spans="1:1">
      <c r="A6" s="18" t="s">
        <v>48</v>
      </c>
    </row>
    <row r="7" spans="1:1">
      <c r="A7" s="18" t="s">
        <v>49</v>
      </c>
    </row>
    <row r="8" spans="1:1">
      <c r="A8" s="18" t="s">
        <v>50</v>
      </c>
    </row>
    <row r="9" spans="1:1">
      <c r="A9" s="18" t="s">
        <v>51</v>
      </c>
    </row>
    <row r="10" spans="1:1">
      <c r="A10" s="18" t="s">
        <v>5</v>
      </c>
    </row>
    <row r="11" spans="1:1">
      <c r="A11" s="18" t="s">
        <v>52</v>
      </c>
    </row>
    <row r="12" spans="1:1">
      <c r="A12" s="18" t="s">
        <v>53</v>
      </c>
    </row>
    <row r="13" spans="1:1">
      <c r="A13" s="18" t="s">
        <v>54</v>
      </c>
    </row>
    <row r="14" spans="1:1">
      <c r="A14" s="18" t="s">
        <v>5</v>
      </c>
    </row>
    <row r="15" spans="1:1">
      <c r="A15" s="18" t="s">
        <v>55</v>
      </c>
    </row>
    <row r="16" spans="1:1">
      <c r="A16" s="18" t="s">
        <v>56</v>
      </c>
    </row>
    <row r="17" spans="1:1">
      <c r="A17" s="18" t="s">
        <v>5</v>
      </c>
    </row>
    <row r="18" spans="1:1">
      <c r="A18" s="18" t="s">
        <v>57</v>
      </c>
    </row>
    <row r="19" spans="1:1">
      <c r="A19" s="18" t="s">
        <v>58</v>
      </c>
    </row>
    <row r="20" spans="1:1">
      <c r="A20" s="18" t="s">
        <v>59</v>
      </c>
    </row>
    <row r="21" spans="1:1">
      <c r="A21" s="18" t="s">
        <v>60</v>
      </c>
    </row>
    <row r="22" spans="1:1">
      <c r="A22" s="18" t="s">
        <v>61</v>
      </c>
    </row>
    <row r="23" spans="1:1">
      <c r="A23" s="18" t="s">
        <v>62</v>
      </c>
    </row>
    <row r="24" spans="1:1">
      <c r="A24" s="18" t="s">
        <v>63</v>
      </c>
    </row>
    <row r="25" spans="1:1">
      <c r="A25" s="18" t="s">
        <v>64</v>
      </c>
    </row>
    <row r="26" spans="1:1">
      <c r="A26" s="18" t="s">
        <v>65</v>
      </c>
    </row>
    <row r="27" spans="1:1">
      <c r="A27" s="18" t="s">
        <v>66</v>
      </c>
    </row>
    <row r="28" spans="1:1">
      <c r="A28" s="18" t="s">
        <v>67</v>
      </c>
    </row>
    <row r="29" spans="1:1">
      <c r="A29" s="18" t="s">
        <v>68</v>
      </c>
    </row>
    <row r="30" spans="1:1">
      <c r="A30" s="18" t="s">
        <v>60</v>
      </c>
    </row>
    <row r="31" spans="1:1">
      <c r="A31" s="18" t="s">
        <v>69</v>
      </c>
    </row>
    <row r="32" spans="1:1">
      <c r="A32" s="18" t="s">
        <v>70</v>
      </c>
    </row>
    <row r="33" spans="1:1">
      <c r="A33" s="18" t="s">
        <v>71</v>
      </c>
    </row>
    <row r="34" spans="1:1">
      <c r="A34" s="18" t="s">
        <v>72</v>
      </c>
    </row>
    <row r="35" spans="1:1">
      <c r="A35" s="18" t="s">
        <v>73</v>
      </c>
    </row>
    <row r="36" spans="1:1">
      <c r="A36" s="18" t="s">
        <v>74</v>
      </c>
    </row>
    <row r="37" spans="1:1">
      <c r="A37" s="18" t="s">
        <v>75</v>
      </c>
    </row>
    <row r="38" spans="1:1">
      <c r="A38" s="18" t="s">
        <v>5</v>
      </c>
    </row>
    <row r="39" spans="1:1">
      <c r="A39" s="18" t="s">
        <v>76</v>
      </c>
    </row>
    <row r="40" spans="1:1">
      <c r="A40" s="18" t="s">
        <v>77</v>
      </c>
    </row>
    <row r="41" spans="1:1">
      <c r="A41" s="18" t="s">
        <v>78</v>
      </c>
    </row>
    <row r="42" spans="1:1">
      <c r="A42" s="18" t="s">
        <v>79</v>
      </c>
    </row>
    <row r="43" spans="1:1">
      <c r="A43" s="18" t="s">
        <v>80</v>
      </c>
    </row>
    <row r="44" spans="1:1">
      <c r="A44" s="18" t="s">
        <v>81</v>
      </c>
    </row>
    <row r="45" spans="1:1">
      <c r="A45" s="18" t="s">
        <v>82</v>
      </c>
    </row>
    <row r="46" spans="1:1">
      <c r="A46" s="18" t="s">
        <v>5</v>
      </c>
    </row>
    <row r="47" spans="1:1">
      <c r="A47" s="18" t="s">
        <v>83</v>
      </c>
    </row>
    <row r="48" spans="1:1">
      <c r="A48" s="18" t="s">
        <v>84</v>
      </c>
    </row>
    <row r="49" spans="1:1">
      <c r="A49" s="18" t="s">
        <v>85</v>
      </c>
    </row>
  </sheetData>
  <hyperlinks>
    <hyperlink ref="A1" location="'TOC'!A1" display="Back to TOC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X19"/>
  <sheetViews>
    <sheetView workbookViewId="0">
      <pane ySplit="1" topLeftCell="A2" activePane="bottomLeft" state="frozen"/>
      <selection pane="bottomLeft"/>
    </sheetView>
  </sheetViews>
  <sheetFormatPr defaultRowHeight="14.4"/>
  <cols>
    <col min="1" max="1" width="57.21875" customWidth="1"/>
    <col min="3" max="3" width="12.109375" customWidth="1"/>
    <col min="4" max="4" width="40.5546875" customWidth="1"/>
    <col min="5" max="5" width="4.88671875" customWidth="1"/>
    <col min="6" max="6" width="36.77734375" customWidth="1"/>
    <col min="7" max="7" width="5.44140625" customWidth="1"/>
    <col min="8" max="9" width="4.88671875" customWidth="1"/>
    <col min="10" max="10" width="5.6640625" customWidth="1"/>
    <col min="11" max="11" width="3.88671875" customWidth="1"/>
    <col min="12" max="13" width="5.77734375" customWidth="1"/>
    <col min="14" max="14" width="11.33203125" customWidth="1"/>
    <col min="15" max="15" width="7.77734375" customWidth="1"/>
    <col min="18" max="19" width="11.21875" customWidth="1"/>
    <col min="20" max="20" width="7.77734375" customWidth="1"/>
    <col min="23" max="23" width="28.88671875" customWidth="1"/>
    <col min="24" max="24" width="25" customWidth="1"/>
  </cols>
  <sheetData>
    <row r="1" spans="1:24">
      <c r="A1" s="23" t="s">
        <v>87</v>
      </c>
      <c r="B1" s="1"/>
      <c r="C1" s="1"/>
      <c r="D1" s="1"/>
      <c r="E1" s="1"/>
      <c r="F1" s="1"/>
      <c r="G1" s="1"/>
      <c r="H1" s="1"/>
    </row>
    <row r="2" spans="1:24">
      <c r="A2" s="1"/>
      <c r="B2" s="1"/>
      <c r="C2" s="1"/>
      <c r="D2" s="1"/>
      <c r="E2" s="1"/>
      <c r="F2" s="1"/>
      <c r="G2" s="1"/>
      <c r="H2" s="1"/>
    </row>
    <row r="3" spans="1:24" ht="26.4" customHeight="1">
      <c r="A3" s="18"/>
      <c r="B3" s="18"/>
      <c r="C3" s="58" t="s">
        <v>44</v>
      </c>
      <c r="D3" s="58"/>
      <c r="E3" s="19"/>
      <c r="F3" s="1"/>
      <c r="G3" s="1"/>
      <c r="H3" s="1"/>
      <c r="I3" s="2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58.2" customHeight="1">
      <c r="A4" s="29" t="s">
        <v>86</v>
      </c>
      <c r="B4" s="30" t="s">
        <v>43</v>
      </c>
      <c r="C4" s="30" t="s">
        <v>30</v>
      </c>
      <c r="D4" s="30" t="s">
        <v>38</v>
      </c>
      <c r="E4" s="9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>
      <c r="A5" s="1" t="s">
        <v>31</v>
      </c>
      <c r="B5" s="8">
        <f>LEN(A5)</f>
        <v>9</v>
      </c>
      <c r="C5" s="3" t="s">
        <v>0</v>
      </c>
      <c r="D5" s="2" t="str">
        <f>[1]!FindCharacterPositions(A5,C5)</f>
        <v>1, 4, 7</v>
      </c>
      <c r="E5" s="2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>
      <c r="A6" s="1" t="s">
        <v>27</v>
      </c>
      <c r="B6" s="8">
        <f t="shared" ref="B6:B15" si="0">LEN(A6)</f>
        <v>16</v>
      </c>
      <c r="C6" s="6" t="s">
        <v>28</v>
      </c>
      <c r="D6" s="2" t="str">
        <f>[1]!FindCharacterPositions(A6,C6)</f>
        <v>4, 8</v>
      </c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>
      <c r="A7" s="1" t="s">
        <v>22</v>
      </c>
      <c r="B7" s="8">
        <f t="shared" si="0"/>
        <v>14</v>
      </c>
      <c r="C7" s="3" t="s">
        <v>23</v>
      </c>
      <c r="D7" s="2" t="str">
        <f>[1]!FindCharacterPositions(A7,C7)</f>
        <v>1, 4, 7, 11, 13</v>
      </c>
      <c r="E7" s="2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24" customHeight="1">
      <c r="A8" s="1" t="s">
        <v>37</v>
      </c>
      <c r="B8" s="8">
        <f t="shared" si="0"/>
        <v>64</v>
      </c>
      <c r="C8" s="4" t="s">
        <v>24</v>
      </c>
      <c r="D8" s="2" t="str">
        <f>[1]!FindCharacterPositions(A8,C8)</f>
        <v>11, 19, 27, 29, 36, 46, 52, 58</v>
      </c>
      <c r="E8" s="2"/>
      <c r="F8" s="13" t="s">
        <v>39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>
      <c r="A9" s="1" t="s">
        <v>25</v>
      </c>
      <c r="B9" s="8">
        <f t="shared" si="0"/>
        <v>45</v>
      </c>
      <c r="C9" s="3" t="s">
        <v>26</v>
      </c>
      <c r="D9" s="2" t="str">
        <f>[1]!FindCharacterPositions(A9,C9)</f>
        <v>11, 19, 27, 29, 36</v>
      </c>
      <c r="E9" s="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>
      <c r="A10" s="1" t="s">
        <v>34</v>
      </c>
      <c r="B10" s="8">
        <f t="shared" si="0"/>
        <v>18</v>
      </c>
      <c r="C10" s="10" t="s">
        <v>23</v>
      </c>
      <c r="D10" s="2" t="str">
        <f>[1]!FindCharacterPositions(A10,C10)</f>
        <v>6, 12</v>
      </c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>
      <c r="A11" s="1" t="s">
        <v>33</v>
      </c>
      <c r="B11" s="8">
        <f t="shared" si="0"/>
        <v>26</v>
      </c>
      <c r="C11" s="5" t="s">
        <v>29</v>
      </c>
      <c r="D11" s="2" t="str">
        <f>[1]!FindCharacterPositions(A11,C11)</f>
        <v>12</v>
      </c>
      <c r="E11" s="2"/>
      <c r="F11" s="7" t="s">
        <v>32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>
      <c r="A12" s="15" t="s">
        <v>35</v>
      </c>
      <c r="B12" s="16">
        <f t="shared" si="0"/>
        <v>12</v>
      </c>
      <c r="C12" s="15" t="s">
        <v>0</v>
      </c>
      <c r="D12" s="17" t="str">
        <f>[1]!FindCharacterPositions(A12,C12)</f>
        <v>1, 2, 3, 4, 5, 6, 7, 8, 9, 10, 11, 12</v>
      </c>
      <c r="E12" s="17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>
      <c r="A13" s="15" t="s">
        <v>35</v>
      </c>
      <c r="B13" s="16">
        <f t="shared" si="0"/>
        <v>12</v>
      </c>
      <c r="C13" s="15" t="s">
        <v>36</v>
      </c>
      <c r="D13" s="17" t="str">
        <f>[1]!FindCharacterPositions(A13,C13)</f>
        <v>1, 3, 5, 7, 9, 11</v>
      </c>
      <c r="E13" s="17"/>
      <c r="F13" s="14" t="s">
        <v>42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>
      <c r="A14" s="15" t="s">
        <v>35</v>
      </c>
      <c r="B14" s="16">
        <f t="shared" ref="B14" si="1">LEN(A14)</f>
        <v>12</v>
      </c>
      <c r="C14" s="15" t="s">
        <v>41</v>
      </c>
      <c r="D14" s="17" t="str">
        <f>[1]!FindCharacterPositions(A14,C14)</f>
        <v>1, 4, 7, 10</v>
      </c>
      <c r="E14" s="17"/>
      <c r="F14" s="14" t="s">
        <v>42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>
      <c r="A15" s="11">
        <v>124564674</v>
      </c>
      <c r="B15" s="8">
        <f t="shared" si="0"/>
        <v>9</v>
      </c>
      <c r="C15" s="11">
        <v>4</v>
      </c>
      <c r="D15" s="2" t="str">
        <f>[1]!FindCharacterPositions(A15,C15)</f>
        <v>3, 6, 9</v>
      </c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>
      <c r="A16" s="1"/>
      <c r="B16" s="1"/>
      <c r="C16" s="12"/>
      <c r="D16" s="12"/>
      <c r="E16" s="12"/>
      <c r="F16" s="1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>
      <c r="A18" s="1"/>
      <c r="B18" s="8"/>
      <c r="C18" s="1"/>
      <c r="D18" s="2"/>
      <c r="E18" s="2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</sheetData>
  <mergeCells count="1">
    <mergeCell ref="C3:D3"/>
  </mergeCells>
  <hyperlinks>
    <hyperlink ref="A1" location="'TOC'!A1" display="Back to TOC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27"/>
  <sheetViews>
    <sheetView workbookViewId="0">
      <pane ySplit="3" topLeftCell="A4" activePane="bottomLeft" state="frozen"/>
      <selection pane="bottomLeft"/>
    </sheetView>
  </sheetViews>
  <sheetFormatPr defaultRowHeight="14.4"/>
  <cols>
    <col min="1" max="1" width="89.21875" customWidth="1"/>
  </cols>
  <sheetData>
    <row r="1" spans="1:1">
      <c r="A1" s="23" t="s">
        <v>87</v>
      </c>
    </row>
    <row r="2" spans="1:1">
      <c r="A2" s="1"/>
    </row>
    <row r="3" spans="1:1">
      <c r="A3" s="20" t="s">
        <v>1</v>
      </c>
    </row>
    <row r="4" spans="1:1">
      <c r="A4" s="14" t="s">
        <v>2</v>
      </c>
    </row>
    <row r="5" spans="1:1">
      <c r="A5" s="14" t="s">
        <v>3</v>
      </c>
    </row>
    <row r="6" spans="1:1">
      <c r="A6" s="14" t="s">
        <v>4</v>
      </c>
    </row>
    <row r="7" spans="1:1">
      <c r="A7" s="14" t="s">
        <v>5</v>
      </c>
    </row>
    <row r="8" spans="1:1">
      <c r="A8" s="14" t="s">
        <v>6</v>
      </c>
    </row>
    <row r="9" spans="1:1">
      <c r="A9" s="14" t="s">
        <v>7</v>
      </c>
    </row>
    <row r="10" spans="1:1">
      <c r="A10" s="14" t="s">
        <v>5</v>
      </c>
    </row>
    <row r="11" spans="1:1">
      <c r="A11" s="14" t="s">
        <v>8</v>
      </c>
    </row>
    <row r="12" spans="1:1">
      <c r="A12" s="14" t="s">
        <v>9</v>
      </c>
    </row>
    <row r="13" spans="1:1">
      <c r="A13" s="14" t="s">
        <v>10</v>
      </c>
    </row>
    <row r="14" spans="1:1">
      <c r="A14" s="14" t="s">
        <v>11</v>
      </c>
    </row>
    <row r="15" spans="1:1">
      <c r="A15" s="14" t="s">
        <v>12</v>
      </c>
    </row>
    <row r="16" spans="1:1">
      <c r="A16" s="14" t="s">
        <v>13</v>
      </c>
    </row>
    <row r="17" spans="1:1">
      <c r="A17" s="14" t="s">
        <v>14</v>
      </c>
    </row>
    <row r="18" spans="1:1">
      <c r="A18" s="14" t="s">
        <v>15</v>
      </c>
    </row>
    <row r="19" spans="1:1">
      <c r="A19" s="14" t="s">
        <v>40</v>
      </c>
    </row>
    <row r="20" spans="1:1">
      <c r="A20" s="14" t="s">
        <v>16</v>
      </c>
    </row>
    <row r="21" spans="1:1">
      <c r="A21" s="14" t="s">
        <v>17</v>
      </c>
    </row>
    <row r="22" spans="1:1">
      <c r="A22" s="14" t="s">
        <v>18</v>
      </c>
    </row>
    <row r="23" spans="1:1">
      <c r="A23" s="14" t="s">
        <v>19</v>
      </c>
    </row>
    <row r="24" spans="1:1">
      <c r="A24" s="14" t="s">
        <v>5</v>
      </c>
    </row>
    <row r="25" spans="1:1">
      <c r="A25" s="14" t="s">
        <v>20</v>
      </c>
    </row>
    <row r="26" spans="1:1">
      <c r="A26" s="14" t="s">
        <v>21</v>
      </c>
    </row>
    <row r="27" spans="1:1">
      <c r="A27" s="14"/>
    </row>
  </sheetData>
  <hyperlinks>
    <hyperlink ref="A1" location="'TOC'!A1" display="Back to TOC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G29"/>
  <sheetViews>
    <sheetView workbookViewId="0"/>
  </sheetViews>
  <sheetFormatPr defaultRowHeight="14.4"/>
  <cols>
    <col min="1" max="1" width="81.5546875" customWidth="1"/>
    <col min="2" max="2" width="7.88671875" customWidth="1"/>
    <col min="3" max="3" width="19.33203125" customWidth="1"/>
    <col min="4" max="4" width="14.44140625" customWidth="1"/>
    <col min="6" max="6" width="6.21875" customWidth="1"/>
    <col min="7" max="7" width="40.88671875" customWidth="1"/>
  </cols>
  <sheetData>
    <row r="1" spans="1:7">
      <c r="A1" s="50" t="s">
        <v>87</v>
      </c>
      <c r="B1" s="34"/>
      <c r="C1" s="34"/>
      <c r="D1" s="34"/>
      <c r="E1" s="34"/>
      <c r="F1" s="34"/>
      <c r="G1" s="1"/>
    </row>
    <row r="2" spans="1:7" ht="15">
      <c r="A2" s="35" t="s">
        <v>97</v>
      </c>
      <c r="B2" s="1"/>
      <c r="C2" s="36" t="s">
        <v>98</v>
      </c>
      <c r="D2" s="1"/>
      <c r="E2" s="1"/>
      <c r="F2" s="1"/>
      <c r="G2" s="1"/>
    </row>
    <row r="3" spans="1:7" ht="15">
      <c r="A3" s="35" t="s">
        <v>99</v>
      </c>
      <c r="B3" s="1"/>
      <c r="C3" s="36"/>
      <c r="D3" s="1"/>
      <c r="E3" s="1"/>
      <c r="F3" s="1"/>
      <c r="G3" s="1"/>
    </row>
    <row r="4" spans="1:7" ht="15">
      <c r="A4" s="35" t="s">
        <v>100</v>
      </c>
      <c r="B4" s="1"/>
      <c r="C4" s="36" t="s">
        <v>101</v>
      </c>
      <c r="D4" s="1"/>
      <c r="E4" s="1"/>
      <c r="F4" s="1"/>
      <c r="G4" s="1"/>
    </row>
    <row r="5" spans="1:7" ht="15">
      <c r="A5" s="35" t="s">
        <v>102</v>
      </c>
      <c r="B5" s="1"/>
      <c r="C5" s="36" t="s">
        <v>103</v>
      </c>
      <c r="D5" s="1"/>
      <c r="E5" s="1"/>
      <c r="F5" s="1"/>
      <c r="G5" s="1"/>
    </row>
    <row r="6" spans="1:7" ht="15">
      <c r="A6" s="35" t="s">
        <v>104</v>
      </c>
      <c r="B6" s="1"/>
      <c r="C6" s="36" t="s">
        <v>105</v>
      </c>
      <c r="D6" s="1"/>
      <c r="E6" s="1"/>
      <c r="F6" s="1"/>
      <c r="G6" s="1"/>
    </row>
    <row r="7" spans="1:7" ht="15">
      <c r="A7" s="35" t="s">
        <v>106</v>
      </c>
      <c r="B7" s="1"/>
      <c r="C7" s="36" t="s">
        <v>107</v>
      </c>
      <c r="D7" s="1"/>
      <c r="E7" s="1"/>
      <c r="F7" s="1"/>
      <c r="G7" s="1"/>
    </row>
    <row r="8" spans="1:7" ht="15">
      <c r="A8" s="35" t="s">
        <v>108</v>
      </c>
      <c r="B8" s="1"/>
      <c r="C8" s="36" t="s">
        <v>109</v>
      </c>
      <c r="D8" s="1"/>
      <c r="E8" s="1"/>
      <c r="F8" s="1"/>
      <c r="G8" s="1"/>
    </row>
    <row r="9" spans="1:7" ht="15">
      <c r="A9" s="35" t="s">
        <v>110</v>
      </c>
      <c r="B9" s="1"/>
      <c r="C9" s="36" t="s">
        <v>111</v>
      </c>
      <c r="D9" s="1"/>
      <c r="E9" s="1"/>
      <c r="F9" s="1"/>
      <c r="G9" s="1"/>
    </row>
    <row r="10" spans="1:7" ht="15">
      <c r="A10" s="35" t="s">
        <v>112</v>
      </c>
      <c r="B10" s="1"/>
      <c r="C10" s="36" t="s">
        <v>113</v>
      </c>
      <c r="D10" s="1"/>
      <c r="E10" s="1"/>
      <c r="F10" s="1"/>
      <c r="G10" s="1"/>
    </row>
    <row r="11" spans="1:7" ht="15">
      <c r="A11" s="35" t="s">
        <v>114</v>
      </c>
      <c r="B11" s="1"/>
      <c r="C11" s="36"/>
      <c r="D11" s="1"/>
      <c r="E11" s="1"/>
      <c r="F11" s="1"/>
      <c r="G11" s="1"/>
    </row>
    <row r="12" spans="1:7" ht="15">
      <c r="A12" s="35" t="s">
        <v>21</v>
      </c>
      <c r="B12" s="1"/>
      <c r="C12" s="36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 ht="107.55" customHeight="1">
      <c r="A15" s="53" t="s">
        <v>115</v>
      </c>
      <c r="B15" s="54" t="s">
        <v>116</v>
      </c>
      <c r="C15" s="55" t="s">
        <v>117</v>
      </c>
      <c r="D15" s="56" t="s">
        <v>118</v>
      </c>
      <c r="E15" s="56" t="s">
        <v>119</v>
      </c>
      <c r="F15" s="56" t="s">
        <v>120</v>
      </c>
      <c r="G15" s="57" t="s">
        <v>121</v>
      </c>
    </row>
    <row r="16" spans="1:7" s="43" customFormat="1" ht="16.8" customHeight="1">
      <c r="A16" s="38"/>
      <c r="B16" s="39"/>
      <c r="C16" s="40" t="s">
        <v>122</v>
      </c>
      <c r="D16" s="37"/>
      <c r="E16" s="37"/>
      <c r="F16" s="41"/>
      <c r="G16" s="42"/>
    </row>
    <row r="17" spans="1:7">
      <c r="A17" s="44" t="s">
        <v>123</v>
      </c>
      <c r="B17" s="45">
        <f>LEN(A17)+1</f>
        <v>61</v>
      </c>
      <c r="C17" s="44">
        <f>[2]!LastPosition(A17," ")</f>
        <v>47</v>
      </c>
      <c r="D17" s="46">
        <f>VALUE(MID(A17,C17,B17-C17))</f>
        <v>94704325.5</v>
      </c>
      <c r="E17" s="47">
        <f>VALUE(MID(A17,C17-6-1,6))</f>
        <v>131700</v>
      </c>
      <c r="F17" s="47">
        <f>C17-6-1-1</f>
        <v>39</v>
      </c>
      <c r="G17" s="44" t="str">
        <f>LEFT(A17,F17)</f>
        <v xml:space="preserve">SECTOR PRIVADO NO FINANCIERO-CAPITALES </v>
      </c>
    </row>
    <row r="18" spans="1:7">
      <c r="A18" s="44" t="s">
        <v>124</v>
      </c>
      <c r="B18" s="45">
        <f>LEN(A18)+1</f>
        <v>62</v>
      </c>
      <c r="C18" s="44">
        <f>[2]!LastPosition(A18," ")</f>
        <v>49</v>
      </c>
      <c r="D18" s="46">
        <f>VALUE(MID(A18,C18,B18-C18))</f>
        <v>2045477.47</v>
      </c>
      <c r="E18" s="47">
        <f>VALUE(MID(A18,C18-6-1,6))</f>
        <v>131709</v>
      </c>
      <c r="F18" s="47">
        <f t="shared" ref="F18:F19" si="0">C18-6-1-1</f>
        <v>41</v>
      </c>
      <c r="G18" s="44" t="str">
        <f>LEFT(A18,F18)</f>
        <v xml:space="preserve">ADELANT. EN CTA. CTE. DE CHEQUES COMUNES </v>
      </c>
    </row>
    <row r="19" spans="1:7">
      <c r="A19" s="44" t="s">
        <v>125</v>
      </c>
      <c r="B19" s="45">
        <f>LEN(A19)+1</f>
        <v>35</v>
      </c>
      <c r="C19" s="44">
        <f>[2]!LastPosition(A19," ")</f>
        <v>24</v>
      </c>
      <c r="D19" s="46">
        <f>VALUE(MID(A19,C19,B19-C19))</f>
        <v>320331.65999999997</v>
      </c>
      <c r="E19" s="47">
        <f>VALUE(MID(A19,C19-6-1,6))</f>
        <v>131712</v>
      </c>
      <c r="F19" s="47">
        <f t="shared" si="0"/>
        <v>16</v>
      </c>
      <c r="G19" s="44" t="str">
        <f>LEFT(A19,F19)</f>
        <v xml:space="preserve">OTROS ADELANTOS </v>
      </c>
    </row>
    <row r="20" spans="1:7">
      <c r="A20" s="40" t="s">
        <v>126</v>
      </c>
      <c r="B20" s="45">
        <f>LEN(A20)+1</f>
        <v>16</v>
      </c>
      <c r="C20" s="40">
        <f>[2]!LastPosition(A20," ")</f>
        <v>8</v>
      </c>
      <c r="D20" s="46"/>
      <c r="E20" s="47"/>
      <c r="F20" s="47"/>
      <c r="G20" s="44" t="str">
        <f>LEFT(A20,F20)</f>
        <v/>
      </c>
    </row>
    <row r="21" spans="1:7">
      <c r="A21" s="44"/>
      <c r="B21" s="45"/>
      <c r="C21" s="44"/>
      <c r="D21" s="46"/>
      <c r="E21" s="47"/>
      <c r="F21" s="47"/>
      <c r="G21" s="44"/>
    </row>
    <row r="22" spans="1:7">
      <c r="A22" s="44"/>
      <c r="B22" s="45"/>
      <c r="C22" s="48" t="s">
        <v>127</v>
      </c>
      <c r="D22" s="46"/>
      <c r="E22" s="47"/>
      <c r="F22" s="47"/>
      <c r="G22" s="44"/>
    </row>
    <row r="23" spans="1:7">
      <c r="A23" s="40" t="s">
        <v>128</v>
      </c>
      <c r="B23" s="45">
        <f>LEN(A23)+1</f>
        <v>45</v>
      </c>
      <c r="C23" s="40">
        <f>[2]!LastPosition(A23,"*")</f>
        <v>32</v>
      </c>
      <c r="D23" s="46">
        <f>VALUE(MID(A23,C23,B23-C23))</f>
        <v>10915617.710000001</v>
      </c>
      <c r="E23" s="47">
        <f>VALUE(MID(A23,C23-6-1,6))</f>
        <v>131715</v>
      </c>
      <c r="F23" s="47">
        <f t="shared" ref="F23" si="1">C23-6-1-1</f>
        <v>24</v>
      </c>
      <c r="G23" s="44" t="str">
        <f>LEFT(A23,F23)</f>
        <v>DOCUMENTOS A SOLA FIRMA*</v>
      </c>
    </row>
    <row r="25" spans="1:7">
      <c r="A25" s="44" t="s">
        <v>129</v>
      </c>
      <c r="B25" s="45">
        <f t="shared" ref="B25" si="2">LEN(A25)+1</f>
        <v>34</v>
      </c>
      <c r="C25" s="44">
        <f>[2]!LastPosition(A25," ")</f>
        <v>24</v>
      </c>
      <c r="D25" s="46">
        <f>VALUE(MID(A25,C25,B25-C25))</f>
        <v>245298.5</v>
      </c>
      <c r="E25" s="47">
        <f>VALUE(MID(A25,C25-6-1,6))</f>
        <v>132124</v>
      </c>
      <c r="F25" s="47">
        <f>C25-6-1-1</f>
        <v>16</v>
      </c>
      <c r="G25" s="44" t="str">
        <f>LEFT(A25,F25)</f>
        <v xml:space="preserve">Cuenta a cobrar </v>
      </c>
    </row>
    <row r="26" spans="1:7">
      <c r="A26" s="44" t="s">
        <v>130</v>
      </c>
      <c r="B26" s="45">
        <f>LEN(A26)+1</f>
        <v>43</v>
      </c>
      <c r="C26" s="44">
        <f>[2]!LastPosition(A26," ")</f>
        <v>33</v>
      </c>
      <c r="D26" s="46">
        <f>VALUE(MID(A26,C26,B26-C26))</f>
        <v>320331.65999999997</v>
      </c>
      <c r="E26" s="47">
        <f>VALUE(MID(A26,C26-6-1,6))</f>
        <v>131712</v>
      </c>
      <c r="F26" s="47">
        <f t="shared" ref="F26:F28" si="3">C26-6-1-1</f>
        <v>25</v>
      </c>
      <c r="G26" s="44" t="str">
        <f>LEFT(A26,F26)</f>
        <v xml:space="preserve">OTROS ADELANTOS en pesos </v>
      </c>
    </row>
    <row r="27" spans="1:7">
      <c r="A27" s="44" t="s">
        <v>131</v>
      </c>
      <c r="B27" s="45">
        <f>LEN(A27)+1</f>
        <v>24</v>
      </c>
      <c r="C27" s="44">
        <f>[2]!LastPosition(A27," ")</f>
        <v>14</v>
      </c>
      <c r="D27" s="46">
        <f>VALUE(MID(A27,C27,B27-C27))</f>
        <v>320331.65999999997</v>
      </c>
      <c r="E27" s="47">
        <f>VALUE(MID(A27,C27-6-1,6))</f>
        <v>131712</v>
      </c>
      <c r="F27" s="47">
        <f t="shared" si="3"/>
        <v>6</v>
      </c>
      <c r="G27" s="44" t="str">
        <f>LEFT(A27,F27)</f>
        <v xml:space="preserve">OTROS </v>
      </c>
    </row>
    <row r="28" spans="1:7">
      <c r="A28" s="44" t="s">
        <v>132</v>
      </c>
      <c r="B28" s="45">
        <f>LEN(A28)+1</f>
        <v>18</v>
      </c>
      <c r="C28" s="44">
        <f>[2]!LastPosition(A28," ")</f>
        <v>8</v>
      </c>
      <c r="D28" s="46">
        <f>VALUE(MID(A28,C28,B28-C28))</f>
        <v>320331.67</v>
      </c>
      <c r="E28" s="47">
        <f>VALUE(MID(A28,C28-6-1,6))</f>
        <v>131712</v>
      </c>
      <c r="F28" s="47">
        <f t="shared" si="3"/>
        <v>0</v>
      </c>
      <c r="G28" s="44" t="str">
        <f>LEFT(A28,F28)</f>
        <v/>
      </c>
    </row>
    <row r="29" spans="1:7">
      <c r="A29" s="44"/>
      <c r="B29" s="45"/>
      <c r="C29" s="44"/>
      <c r="D29" s="46"/>
      <c r="E29" s="47"/>
      <c r="F29" s="47"/>
      <c r="G29" s="44"/>
    </row>
  </sheetData>
  <hyperlinks>
    <hyperlink ref="A1" location="'TOC'!A1" display="Back to TOC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TOC</vt:lpstr>
      <vt:lpstr>TOC11</vt:lpstr>
      <vt:lpstr>Código de la TOC</vt:lpstr>
      <vt:lpstr>FindCharacterPositions</vt:lpstr>
      <vt:lpstr>Código Addin FindCharacterPosit</vt:lpstr>
      <vt:lpstr>LastPosition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</dc:creator>
  <cp:lastModifiedBy>vn</cp:lastModifiedBy>
  <dcterms:created xsi:type="dcterms:W3CDTF">2023-06-02T21:36:37Z</dcterms:created>
  <dcterms:modified xsi:type="dcterms:W3CDTF">2023-06-11T16:40:16Z</dcterms:modified>
</cp:coreProperties>
</file>